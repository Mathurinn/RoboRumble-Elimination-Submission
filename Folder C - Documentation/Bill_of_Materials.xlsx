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h\Downloads\"/>
    </mc:Choice>
  </mc:AlternateContent>
  <xr:revisionPtr revIDLastSave="0" documentId="11_F0C19A8176FCFD2F702A5D6E650E70A565C74473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Bill of Materials" sheetId="1" r:id="rId1"/>
  </sheets>
  <definedNames>
    <definedName name="_xlnm._FilterDatabase" localSheetId="0" hidden="1">'Bill of Materials'!$A$4:$H$25</definedName>
    <definedName name="_xlnm.Print_Titles" localSheetId="0">'Bill of Materials'!$4:$4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1" l="1"/>
  <c r="E24" i="1"/>
  <c r="E26" i="1" s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<sst xmlns="http://schemas.openxmlformats.org/spreadsheetml/2006/main" count="96" uniqueCount="60">
  <si>
    <t>Bill of Materials</t>
  </si>
  <si>
    <t>Component &amp; Supplier Cost Breakdown</t>
  </si>
  <si>
    <t>Item No.</t>
  </si>
  <si>
    <t>Component Name</t>
  </si>
  <si>
    <t>Quantity</t>
  </si>
  <si>
    <t>Cost per Unit (ZAR)</t>
  </si>
  <si>
    <t>Total Item Cost (ZAR)</t>
  </si>
  <si>
    <t>Supplier Name</t>
  </si>
  <si>
    <t>Supplier Stock Code</t>
  </si>
  <si>
    <t>Direct Purchase URL</t>
  </si>
  <si>
    <t>STM32F103C8T6 (Blue Pill MCU)</t>
  </si>
  <si>
    <t>Communica</t>
  </si>
  <si>
    <t>BMT STM32F103C8T6 MINI DEV BOARD</t>
  </si>
  <si>
    <t>View Product</t>
  </si>
  <si>
    <t>ST-Link V2 USB Programmer</t>
  </si>
  <si>
    <t>HKD ST-LINK PROGRAMME V2 STM8/32</t>
  </si>
  <si>
    <t>TB6612FNG Dual Motor Driver Module</t>
  </si>
  <si>
    <t>DIYElectronics</t>
  </si>
  <si>
    <t>9MDTB6612FB</t>
  </si>
  <si>
    <t>N20 Micro Gear Motor + Encoder (6V 1500 RPM)</t>
  </si>
  <si>
    <t>AliExpress</t>
  </si>
  <si>
    <t>MOT-N20-ENC-1500</t>
  </si>
  <si>
    <t>Metal Ball Caster Wheel (Front Support)</t>
  </si>
  <si>
    <t>9WROBOTBULL</t>
  </si>
  <si>
    <t>LM2596 Step-Down DC-DC Buck Converter</t>
  </si>
  <si>
    <t>BMT ADJ DC/DC MODULE 3A 1,5-35V</t>
  </si>
  <si>
    <t>18650 Li-ion Cells (3000mAh)</t>
  </si>
  <si>
    <t>EJC18650 3000MAH 3.7V BATT SET</t>
  </si>
  <si>
    <t>MPU6050 6-DOF IMU (Accelerometer / Gyro)</t>
  </si>
  <si>
    <t>Make Electronics</t>
  </si>
  <si>
    <t>0ME1575</t>
  </si>
  <si>
    <t>Emergency Stop Switch &amp; Power Toggle</t>
  </si>
  <si>
    <t>9SWPEP3PINSML</t>
  </si>
  <si>
    <t>Female Header Pins</t>
  </si>
  <si>
    <t>9CONSIL15PSF</t>
  </si>
  <si>
    <t>M3 Standoffs Screws &amp; Fasteners Kit</t>
  </si>
  <si>
    <t>HWNYLONSO10</t>
  </si>
  <si>
    <t>8-Channel High-Speed IR Array (QTR-8RC)</t>
  </si>
  <si>
    <t>Bob Shop</t>
  </si>
  <si>
    <t>C10-T13</t>
  </si>
  <si>
    <t>Raspberry Pi Zero 2 W (Vision Co-Processor)</t>
  </si>
  <si>
    <t>9RASPBZERO2W</t>
  </si>
  <si>
    <t>Raspberry Pi Camera Module 3 (Wide-Angle)</t>
  </si>
  <si>
    <t>RASPBERRY PI CAM MODULE 3W ORIG</t>
  </si>
  <si>
    <t>High-Endurance 32GB MicroSD Card (U3/V30)</t>
  </si>
  <si>
    <t>SDSQQNR-032G-GN6IA</t>
  </si>
  <si>
    <t>VL53L1X Time-of-Flight Distance Sensor (50Hz)</t>
  </si>
  <si>
    <t>HKD VL53L1X LASER TOF SENS 400CM</t>
  </si>
  <si>
    <t>INA219 I2C High-Side Current/Power Sensor</t>
  </si>
  <si>
    <t>BDD INA219 DC CURRENT SENSOR</t>
  </si>
  <si>
    <t>Double-Sided Prototype Perfboard (Pack)</t>
  </si>
  <si>
    <t>9PCBPRODS100</t>
  </si>
  <si>
    <t>Lead-Free Rosin Core Solder Wire Spool</t>
  </si>
  <si>
    <t>SQSO.71MM125GR</t>
  </si>
  <si>
    <t>PLA 3D Printing Filament (~250g Allocation)</t>
  </si>
  <si>
    <t>HWPPPLAB1.75BK</t>
  </si>
  <si>
    <t>2-Slot 18650 Battery Holder</t>
  </si>
  <si>
    <t>HKD LC18650X2 BATT HOLDER</t>
  </si>
  <si>
    <t>TOTAL PROJECT IMPLEMENTATION COST</t>
  </si>
  <si>
    <t>All amounts in South African Rand (ZAR)  ·  Generated 6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</si>
</sst>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 &quot;#,##0.00"/>
  </numFmts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D9D9D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u/>
      <sz val="10"/>
      <color rgb="FF0563C1"/>
      <name val="Arial"/>
      <charset val="1"/>
    </font>
    <font>
      <b/>
      <sz val="11"/>
      <color rgb="FF000000"/>
      <name val="Arial"/>
      <charset val="1"/>
    </font>
    <font>
      <b/>
      <sz val="12"/>
      <color rgb="FFC00000"/>
      <name val="Arial"/>
      <charset val="1"/>
    </font>
    <font>
      <i/>
      <sz val="9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ck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0" borderId="0" xfId="0" applyFont="1" applyAlignment="1">
      <alignment horizontal="left" vertical="center"/>
    </xf>
    <xf numFmtId="0" fontId="6" fillId="5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right" vertical="center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3esbnrhr" TargetMode="External"/><Relationship Id="rId13" Type="http://schemas.openxmlformats.org/officeDocument/2006/relationships/hyperlink" Target="https://tinyurl.com/md4axdpz" TargetMode="External"/><Relationship Id="rId18" Type="http://schemas.openxmlformats.org/officeDocument/2006/relationships/hyperlink" Target="https://tinyurl.com/3xdyua26" TargetMode="External"/><Relationship Id="rId3" Type="http://schemas.openxmlformats.org/officeDocument/2006/relationships/hyperlink" Target="https://tinyurl.com/2mvbed2k" TargetMode="External"/><Relationship Id="rId21" Type="http://schemas.openxmlformats.org/officeDocument/2006/relationships/hyperlink" Target="https://tinyurl.com/56za3xfy" TargetMode="External"/><Relationship Id="rId7" Type="http://schemas.openxmlformats.org/officeDocument/2006/relationships/hyperlink" Target="https://tinyurl.com/ybu84bhc" TargetMode="External"/><Relationship Id="rId12" Type="http://schemas.openxmlformats.org/officeDocument/2006/relationships/hyperlink" Target="https://tinyurl.com/3etb3d6b" TargetMode="External"/><Relationship Id="rId17" Type="http://schemas.openxmlformats.org/officeDocument/2006/relationships/hyperlink" Target="https://tinyurl.com/bdkthxfw" TargetMode="External"/><Relationship Id="rId2" Type="http://schemas.openxmlformats.org/officeDocument/2006/relationships/hyperlink" Target="https://tinyurl.com/ysv4c6z3" TargetMode="External"/><Relationship Id="rId16" Type="http://schemas.openxmlformats.org/officeDocument/2006/relationships/hyperlink" Target="https://www.communica.co.za/products/hkd-vl53l1x-laser-tof-sens-400cm" TargetMode="External"/><Relationship Id="rId20" Type="http://schemas.openxmlformats.org/officeDocument/2006/relationships/hyperlink" Target="https://tinyurl.com/4e8spyfp" TargetMode="External"/><Relationship Id="rId1" Type="http://schemas.openxmlformats.org/officeDocument/2006/relationships/hyperlink" Target="https://tinyurl.com/25pbtawa" TargetMode="External"/><Relationship Id="rId6" Type="http://schemas.openxmlformats.org/officeDocument/2006/relationships/hyperlink" Target="https://tinyurl.com/yz44kttt" TargetMode="External"/><Relationship Id="rId11" Type="http://schemas.openxmlformats.org/officeDocument/2006/relationships/hyperlink" Target="https://tinyurl.com/ym4twhbt" TargetMode="External"/><Relationship Id="rId5" Type="http://schemas.openxmlformats.org/officeDocument/2006/relationships/hyperlink" Target="https://tinyurl.com/2tr2hu6m" TargetMode="External"/><Relationship Id="rId15" Type="http://schemas.openxmlformats.org/officeDocument/2006/relationships/hyperlink" Target="https://tinyurl.com/2zpz59uv" TargetMode="External"/><Relationship Id="rId10" Type="http://schemas.openxmlformats.org/officeDocument/2006/relationships/hyperlink" Target="https://tinyurl.com/2s38wut6" TargetMode="External"/><Relationship Id="rId19" Type="http://schemas.openxmlformats.org/officeDocument/2006/relationships/hyperlink" Target="https://tinyurl.com/2rtzujtk" TargetMode="External"/><Relationship Id="rId4" Type="http://schemas.openxmlformats.org/officeDocument/2006/relationships/hyperlink" Target="https://www.aliexpress.com/i/1005004110888400.html" TargetMode="External"/><Relationship Id="rId9" Type="http://schemas.openxmlformats.org/officeDocument/2006/relationships/hyperlink" Target="https://tinyurl.com/y7vshr2z" TargetMode="External"/><Relationship Id="rId14" Type="http://schemas.openxmlformats.org/officeDocument/2006/relationships/hyperlink" Target="https://tinyurl.com/y7xb3tp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H28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45" customWidth="1"/>
    <col min="3" max="3" width="10" customWidth="1"/>
    <col min="4" max="4" width="18" customWidth="1"/>
    <col min="5" max="5" width="20" customWidth="1"/>
    <col min="6" max="6" width="16" customWidth="1"/>
    <col min="7" max="7" width="38" customWidth="1"/>
    <col min="8" max="8" width="16" customWidth="1"/>
  </cols>
  <sheetData>
    <row r="1" spans="1:8" ht="31.5" customHeigh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8" ht="18" customHeight="1" x14ac:dyDescent="0.35">
      <c r="A2" s="3" t="s">
        <v>1</v>
      </c>
      <c r="B2" s="3"/>
      <c r="C2" s="3"/>
      <c r="D2" s="3"/>
      <c r="E2" s="3"/>
      <c r="F2" s="3"/>
      <c r="G2" s="3"/>
      <c r="H2" s="3"/>
    </row>
    <row r="3" spans="1:8" ht="6" customHeight="1" x14ac:dyDescent="0.35"/>
    <row r="4" spans="1:8" ht="30" customHeight="1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18" customHeight="1" x14ac:dyDescent="0.35">
      <c r="A5" s="6">
        <v>1</v>
      </c>
      <c r="B5" s="7" t="s">
        <v>10</v>
      </c>
      <c r="C5" s="8">
        <v>1</v>
      </c>
      <c r="D5" s="9">
        <v>47.99</v>
      </c>
      <c r="E5" s="9">
        <f t="shared" ref="E5:E25" si="0">C5*D5</f>
        <v>47.99</v>
      </c>
      <c r="F5" s="7" t="s">
        <v>11</v>
      </c>
      <c r="G5" s="7" t="s">
        <v>12</v>
      </c>
      <c r="H5" s="10" t="s">
        <v>13</v>
      </c>
    </row>
    <row r="6" spans="1:8" ht="18" customHeight="1" x14ac:dyDescent="0.35">
      <c r="A6" s="11">
        <v>2</v>
      </c>
      <c r="B6" s="12" t="s">
        <v>14</v>
      </c>
      <c r="C6" s="13">
        <v>1</v>
      </c>
      <c r="D6" s="14">
        <v>55</v>
      </c>
      <c r="E6" s="14">
        <f t="shared" si="0"/>
        <v>55</v>
      </c>
      <c r="F6" s="12" t="s">
        <v>11</v>
      </c>
      <c r="G6" s="12" t="s">
        <v>15</v>
      </c>
      <c r="H6" s="15" t="s">
        <v>13</v>
      </c>
    </row>
    <row r="7" spans="1:8" ht="18" customHeight="1" x14ac:dyDescent="0.35">
      <c r="A7" s="6">
        <v>3</v>
      </c>
      <c r="B7" s="7" t="s">
        <v>16</v>
      </c>
      <c r="C7" s="8">
        <v>1</v>
      </c>
      <c r="D7" s="9">
        <v>116</v>
      </c>
      <c r="E7" s="9">
        <f t="shared" si="0"/>
        <v>116</v>
      </c>
      <c r="F7" s="7" t="s">
        <v>17</v>
      </c>
      <c r="G7" s="7" t="s">
        <v>18</v>
      </c>
      <c r="H7" s="10" t="s">
        <v>13</v>
      </c>
    </row>
    <row r="8" spans="1:8" ht="18" customHeight="1" x14ac:dyDescent="0.35">
      <c r="A8" s="11">
        <v>4</v>
      </c>
      <c r="B8" s="12" t="s">
        <v>19</v>
      </c>
      <c r="C8" s="13">
        <v>2</v>
      </c>
      <c r="D8" s="14">
        <v>185</v>
      </c>
      <c r="E8" s="14">
        <f t="shared" si="0"/>
        <v>370</v>
      </c>
      <c r="F8" s="12" t="s">
        <v>20</v>
      </c>
      <c r="G8" s="12" t="s">
        <v>21</v>
      </c>
      <c r="H8" s="15" t="s">
        <v>13</v>
      </c>
    </row>
    <row r="9" spans="1:8" ht="18" customHeight="1" x14ac:dyDescent="0.35">
      <c r="A9" s="6">
        <v>5</v>
      </c>
      <c r="B9" s="7" t="s">
        <v>22</v>
      </c>
      <c r="C9" s="8">
        <v>1</v>
      </c>
      <c r="D9" s="9">
        <v>14</v>
      </c>
      <c r="E9" s="9">
        <f t="shared" si="0"/>
        <v>14</v>
      </c>
      <c r="F9" s="7" t="s">
        <v>17</v>
      </c>
      <c r="G9" s="7" t="s">
        <v>23</v>
      </c>
      <c r="H9" s="10" t="s">
        <v>13</v>
      </c>
    </row>
    <row r="10" spans="1:8" ht="18" customHeight="1" x14ac:dyDescent="0.35">
      <c r="A10" s="11">
        <v>6</v>
      </c>
      <c r="B10" s="12" t="s">
        <v>24</v>
      </c>
      <c r="C10" s="13">
        <v>1</v>
      </c>
      <c r="D10" s="14">
        <v>35</v>
      </c>
      <c r="E10" s="14">
        <f t="shared" si="0"/>
        <v>35</v>
      </c>
      <c r="F10" s="12" t="s">
        <v>11</v>
      </c>
      <c r="G10" s="12" t="s">
        <v>25</v>
      </c>
      <c r="H10" s="15" t="s">
        <v>13</v>
      </c>
    </row>
    <row r="11" spans="1:8" ht="18" customHeight="1" x14ac:dyDescent="0.35">
      <c r="A11" s="6">
        <v>7</v>
      </c>
      <c r="B11" s="7" t="s">
        <v>26</v>
      </c>
      <c r="C11" s="8">
        <v>1</v>
      </c>
      <c r="D11" s="9">
        <v>100</v>
      </c>
      <c r="E11" s="9">
        <f t="shared" si="0"/>
        <v>100</v>
      </c>
      <c r="F11" s="7" t="s">
        <v>11</v>
      </c>
      <c r="G11" s="7" t="s">
        <v>27</v>
      </c>
      <c r="H11" s="10" t="s">
        <v>13</v>
      </c>
    </row>
    <row r="12" spans="1:8" ht="18" customHeight="1" x14ac:dyDescent="0.35">
      <c r="A12" s="11">
        <v>8</v>
      </c>
      <c r="B12" s="12" t="s">
        <v>28</v>
      </c>
      <c r="C12" s="13">
        <v>1</v>
      </c>
      <c r="D12" s="14">
        <v>65</v>
      </c>
      <c r="E12" s="14">
        <f t="shared" si="0"/>
        <v>65</v>
      </c>
      <c r="F12" s="12" t="s">
        <v>29</v>
      </c>
      <c r="G12" s="12" t="s">
        <v>30</v>
      </c>
      <c r="H12" s="15" t="s">
        <v>13</v>
      </c>
    </row>
    <row r="13" spans="1:8" ht="18" customHeight="1" x14ac:dyDescent="0.35">
      <c r="A13" s="6">
        <v>9</v>
      </c>
      <c r="B13" s="7" t="s">
        <v>31</v>
      </c>
      <c r="C13" s="8">
        <v>1</v>
      </c>
      <c r="D13" s="9">
        <v>88</v>
      </c>
      <c r="E13" s="9">
        <f t="shared" si="0"/>
        <v>88</v>
      </c>
      <c r="F13" s="7" t="s">
        <v>17</v>
      </c>
      <c r="G13" s="7" t="s">
        <v>32</v>
      </c>
      <c r="H13" s="10" t="s">
        <v>13</v>
      </c>
    </row>
    <row r="14" spans="1:8" ht="18" customHeight="1" x14ac:dyDescent="0.35">
      <c r="A14" s="11">
        <v>10</v>
      </c>
      <c r="B14" s="12" t="s">
        <v>33</v>
      </c>
      <c r="C14" s="13">
        <v>4</v>
      </c>
      <c r="D14" s="14">
        <v>11</v>
      </c>
      <c r="E14" s="14">
        <f t="shared" si="0"/>
        <v>44</v>
      </c>
      <c r="F14" s="12" t="s">
        <v>17</v>
      </c>
      <c r="G14" s="12" t="s">
        <v>34</v>
      </c>
      <c r="H14" s="15" t="s">
        <v>13</v>
      </c>
    </row>
    <row r="15" spans="1:8" ht="18" customHeight="1" x14ac:dyDescent="0.35">
      <c r="A15" s="6">
        <v>11</v>
      </c>
      <c r="B15" s="7" t="s">
        <v>35</v>
      </c>
      <c r="C15" s="8">
        <v>2</v>
      </c>
      <c r="D15" s="9">
        <v>49</v>
      </c>
      <c r="E15" s="9">
        <f t="shared" si="0"/>
        <v>98</v>
      </c>
      <c r="F15" s="7" t="s">
        <v>17</v>
      </c>
      <c r="G15" s="7" t="s">
        <v>36</v>
      </c>
      <c r="H15" s="10" t="s">
        <v>13</v>
      </c>
    </row>
    <row r="16" spans="1:8" ht="18" customHeight="1" x14ac:dyDescent="0.35">
      <c r="A16" s="11">
        <v>12</v>
      </c>
      <c r="B16" s="12" t="s">
        <v>37</v>
      </c>
      <c r="C16" s="13">
        <v>1</v>
      </c>
      <c r="D16" s="14">
        <v>136.5</v>
      </c>
      <c r="E16" s="14">
        <f t="shared" si="0"/>
        <v>136.5</v>
      </c>
      <c r="F16" s="12" t="s">
        <v>38</v>
      </c>
      <c r="G16" s="12" t="s">
        <v>39</v>
      </c>
      <c r="H16" s="15" t="s">
        <v>13</v>
      </c>
    </row>
    <row r="17" spans="1:8" ht="18" customHeight="1" x14ac:dyDescent="0.35">
      <c r="A17" s="6">
        <v>13</v>
      </c>
      <c r="B17" s="7" t="s">
        <v>40</v>
      </c>
      <c r="C17" s="8">
        <v>1</v>
      </c>
      <c r="D17" s="9">
        <v>436</v>
      </c>
      <c r="E17" s="9">
        <f t="shared" si="0"/>
        <v>436</v>
      </c>
      <c r="F17" s="7" t="s">
        <v>17</v>
      </c>
      <c r="G17" s="7" t="s">
        <v>41</v>
      </c>
      <c r="H17" s="10" t="s">
        <v>13</v>
      </c>
    </row>
    <row r="18" spans="1:8" ht="18" customHeight="1" x14ac:dyDescent="0.35">
      <c r="A18" s="11">
        <v>14</v>
      </c>
      <c r="B18" s="12" t="s">
        <v>42</v>
      </c>
      <c r="C18" s="13">
        <v>1</v>
      </c>
      <c r="D18" s="14">
        <v>856.75</v>
      </c>
      <c r="E18" s="14">
        <f t="shared" si="0"/>
        <v>856.75</v>
      </c>
      <c r="F18" s="12" t="s">
        <v>11</v>
      </c>
      <c r="G18" s="12" t="s">
        <v>43</v>
      </c>
      <c r="H18" s="15" t="s">
        <v>13</v>
      </c>
    </row>
    <row r="19" spans="1:8" ht="18" customHeight="1" x14ac:dyDescent="0.35">
      <c r="A19" s="6">
        <v>15</v>
      </c>
      <c r="B19" s="7" t="s">
        <v>44</v>
      </c>
      <c r="C19" s="8">
        <v>1</v>
      </c>
      <c r="D19" s="9">
        <v>226.14</v>
      </c>
      <c r="E19" s="9">
        <f t="shared" si="0"/>
        <v>226.14</v>
      </c>
      <c r="F19" s="7" t="s">
        <v>38</v>
      </c>
      <c r="G19" s="7" t="s">
        <v>45</v>
      </c>
      <c r="H19" s="10" t="s">
        <v>13</v>
      </c>
    </row>
    <row r="20" spans="1:8" ht="18" customHeight="1" x14ac:dyDescent="0.35">
      <c r="A20" s="11">
        <v>16</v>
      </c>
      <c r="B20" s="12" t="s">
        <v>46</v>
      </c>
      <c r="C20" s="13">
        <v>2</v>
      </c>
      <c r="D20" s="14">
        <v>190</v>
      </c>
      <c r="E20" s="14">
        <f t="shared" si="0"/>
        <v>380</v>
      </c>
      <c r="F20" s="12" t="s">
        <v>11</v>
      </c>
      <c r="G20" s="12" t="s">
        <v>47</v>
      </c>
      <c r="H20" s="15" t="s">
        <v>13</v>
      </c>
    </row>
    <row r="21" spans="1:8" ht="18" customHeight="1" x14ac:dyDescent="0.35">
      <c r="A21" s="6">
        <v>17</v>
      </c>
      <c r="B21" s="7" t="s">
        <v>48</v>
      </c>
      <c r="C21" s="8">
        <v>1</v>
      </c>
      <c r="D21" s="9">
        <v>30</v>
      </c>
      <c r="E21" s="9">
        <f t="shared" si="0"/>
        <v>30</v>
      </c>
      <c r="F21" s="7" t="s">
        <v>11</v>
      </c>
      <c r="G21" s="7" t="s">
        <v>49</v>
      </c>
      <c r="H21" s="10" t="s">
        <v>13</v>
      </c>
    </row>
    <row r="22" spans="1:8" ht="18" customHeight="1" x14ac:dyDescent="0.35">
      <c r="A22" s="11">
        <v>18</v>
      </c>
      <c r="B22" s="12" t="s">
        <v>50</v>
      </c>
      <c r="C22" s="13">
        <v>1</v>
      </c>
      <c r="D22" s="14">
        <v>59</v>
      </c>
      <c r="E22" s="14">
        <f t="shared" si="0"/>
        <v>59</v>
      </c>
      <c r="F22" s="12" t="s">
        <v>17</v>
      </c>
      <c r="G22" s="12" t="s">
        <v>51</v>
      </c>
      <c r="H22" s="15" t="s">
        <v>13</v>
      </c>
    </row>
    <row r="23" spans="1:8" ht="18" customHeight="1" x14ac:dyDescent="0.35">
      <c r="A23" s="6">
        <v>19</v>
      </c>
      <c r="B23" s="7" t="s">
        <v>52</v>
      </c>
      <c r="C23" s="8">
        <v>1</v>
      </c>
      <c r="D23" s="9">
        <v>179</v>
      </c>
      <c r="E23" s="9">
        <f t="shared" si="0"/>
        <v>179</v>
      </c>
      <c r="F23" s="7" t="s">
        <v>17</v>
      </c>
      <c r="G23" s="7" t="s">
        <v>53</v>
      </c>
      <c r="H23" s="10" t="s">
        <v>13</v>
      </c>
    </row>
    <row r="24" spans="1:8" ht="18" customHeight="1" x14ac:dyDescent="0.35">
      <c r="A24" s="11">
        <v>20</v>
      </c>
      <c r="B24" s="12" t="s">
        <v>54</v>
      </c>
      <c r="C24" s="13">
        <v>1</v>
      </c>
      <c r="D24" s="14">
        <v>199</v>
      </c>
      <c r="E24" s="14">
        <f t="shared" si="0"/>
        <v>199</v>
      </c>
      <c r="F24" s="12" t="s">
        <v>17</v>
      </c>
      <c r="G24" s="12" t="s">
        <v>55</v>
      </c>
      <c r="H24" s="15" t="s">
        <v>13</v>
      </c>
    </row>
    <row r="25" spans="1:8" ht="18" customHeight="1" x14ac:dyDescent="0.35">
      <c r="A25" s="6">
        <v>21</v>
      </c>
      <c r="B25" s="7" t="s">
        <v>56</v>
      </c>
      <c r="C25" s="8">
        <v>1</v>
      </c>
      <c r="D25" s="9">
        <v>10.01</v>
      </c>
      <c r="E25" s="9">
        <f t="shared" si="0"/>
        <v>10.01</v>
      </c>
      <c r="F25" s="7" t="s">
        <v>11</v>
      </c>
      <c r="G25" s="7" t="s">
        <v>57</v>
      </c>
      <c r="H25" s="10" t="s">
        <v>13</v>
      </c>
    </row>
    <row r="26" spans="1:8" ht="24" customHeight="1" x14ac:dyDescent="0.35">
      <c r="A26" s="2" t="s">
        <v>58</v>
      </c>
      <c r="B26" s="2"/>
      <c r="C26" s="2"/>
      <c r="D26" s="2"/>
      <c r="E26" s="16">
        <f>SUM(E5:E25)</f>
        <v>3545.39</v>
      </c>
      <c r="F26" s="17"/>
      <c r="G26" s="17"/>
      <c r="H26" s="17"/>
    </row>
    <row r="27" spans="1:8" ht="9.75" customHeight="1" x14ac:dyDescent="0.35"/>
    <row r="28" spans="1:8" x14ac:dyDescent="0.35">
      <c r="A28" s="1" t="s">
        <v>59</v>
      </c>
      <c r="B28" s="1"/>
      <c r="C28" s="1"/>
      <c r="D28" s="1"/>
      <c r="E28" s="1"/>
      <c r="F28" s="1"/>
      <c r="G28" s="1"/>
      <c r="H28" s="1"/>
    </row>
  </sheetData>
  <autoFilter ref="A4:H25" xr:uid="{00000000-0009-0000-0000-000000000000}"/>
  <mergeCells count="4">
    <mergeCell ref="A1:H1"/>
    <mergeCell ref="A2:H2"/>
    <mergeCell ref="A26:D26"/>
    <mergeCell ref="A28:H28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location="nav-description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3" r:id="rId9" xr:uid="{00000000-0004-0000-0000-000008000000}"/>
    <hyperlink ref="H14" r:id="rId10" xr:uid="{00000000-0004-0000-0000-000009000000}"/>
    <hyperlink ref="H15" r:id="rId11" xr:uid="{00000000-0004-0000-0000-00000A000000}"/>
    <hyperlink ref="H16" r:id="rId12" xr:uid="{00000000-0004-0000-0000-00000B000000}"/>
    <hyperlink ref="H17" r:id="rId13" xr:uid="{00000000-0004-0000-0000-00000C000000}"/>
    <hyperlink ref="H18" r:id="rId14" xr:uid="{00000000-0004-0000-0000-00000D000000}"/>
    <hyperlink ref="H19" r:id="rId15" xr:uid="{00000000-0004-0000-0000-00000E000000}"/>
    <hyperlink ref="H20" r:id="rId16" xr:uid="{00000000-0004-0000-0000-00000F000000}"/>
    <hyperlink ref="H21" r:id="rId17" xr:uid="{00000000-0004-0000-0000-000010000000}"/>
    <hyperlink ref="H22" r:id="rId18" xr:uid="{00000000-0004-0000-0000-000011000000}"/>
    <hyperlink ref="H23" r:id="rId19" xr:uid="{00000000-0004-0000-0000-000012000000}"/>
    <hyperlink ref="H24" r:id="rId20" xr:uid="{00000000-0004-0000-0000-000013000000}"/>
    <hyperlink ref="H25" r:id="rId21" xr:uid="{00000000-0004-0000-0000-000014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Mathurin Moundzika-Kibamba</cp:lastModifiedBy>
  <cp:revision>0</cp:revision>
  <dcterms:created xsi:type="dcterms:W3CDTF">2026-09-05T22:28:58Z</dcterms:created>
  <dcterms:modified xsi:type="dcterms:W3CDTF">2026-09-06T15:22:19Z</dcterms:modified>
  <dc:language>en-US</dc:language>
</cp:coreProperties>
</file>